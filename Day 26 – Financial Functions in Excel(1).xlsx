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COURSE\"/>
    </mc:Choice>
  </mc:AlternateContent>
  <xr:revisionPtr revIDLastSave="0" documentId="8_{FB97F4B8-72C0-4CEF-8757-67065F950DFB}" xr6:coauthVersionLast="47" xr6:coauthVersionMax="47" xr10:uidLastSave="{00000000-0000-0000-0000-000000000000}"/>
  <bookViews>
    <workbookView xWindow="-108" yWindow="-108" windowWidth="23256" windowHeight="13176" xr2:uid="{AAB6CD0D-2209-4369-9C05-A75E747DF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C6" i="1"/>
  <c r="C12" i="1" s="1"/>
  <c r="G62" i="1"/>
  <c r="F6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C8" i="1" l="1"/>
  <c r="C10" i="1" s="1"/>
</calcChain>
</file>

<file path=xl/sharedStrings.xml><?xml version="1.0" encoding="utf-8"?>
<sst xmlns="http://schemas.openxmlformats.org/spreadsheetml/2006/main" count="11" uniqueCount="11">
  <si>
    <t>RATE</t>
  </si>
  <si>
    <t>LOAN AMOUNT</t>
  </si>
  <si>
    <t>MONTHS</t>
  </si>
  <si>
    <t>PERIOD (M)</t>
  </si>
  <si>
    <t>EMI CALCULATION</t>
  </si>
  <si>
    <t>PMT/EMI</t>
  </si>
  <si>
    <t>PPMT</t>
  </si>
  <si>
    <t>IPMT</t>
  </si>
  <si>
    <t>TOTAL</t>
  </si>
  <si>
    <t>TOTAL PAY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</si>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</sst>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  <xf numFmtId="8" fontId="1" fillId="0" borderId="1" xfId="0" applyNumberFormat="1" applyFont="1" applyBorder="1"/>
    <xf numFmtId="8" fontId="0" fillId="0" borderId="0" xfId="0" applyNumberFormat="1"/>
    <xf numFmtId="8" fontId="1" fillId="0" borderId="0" xfId="0" applyNumberFormat="1" applyFont="1"/>
    <xf numFmtId="8" fontId="0" fillId="0" borderId="1" xfId="0" applyNumberFormat="1" applyBorder="1" applyAlignment="1">
      <alignment vertical="top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FCD0-4F6A-49A6-825D-3455BFD96C42}">
  <dimension ref="B1:H62"/>
  <sheetViews>
    <sheetView tabSelected="1" zoomScale="205" zoomScaleNormal="205" workbookViewId="0">
      <selection activeCell="H11" sqref="H11"/>
    </sheetView>
  </sheetViews>
  <sheetFormatPr defaultRowHeight="14.4" x14ac:dyDescent="0.3"/>
  <cols>
    <col min="2" max="2" width="14.21875" customWidth="1"/>
    <col min="3" max="3" width="13.21875" bestFit="1" customWidth="1"/>
    <col min="5" max="5" width="9.44140625" customWidth="1"/>
    <col min="6" max="6" width="12.109375" customWidth="1"/>
    <col min="7" max="7" width="11.88671875" customWidth="1"/>
    <col min="8" max="8" width="10.5546875" bestFit="1" customWidth="1"/>
  </cols>
  <sheetData>
    <row r="1" spans="2:8" x14ac:dyDescent="0.3">
      <c r="B1" s="9" t="s">
        <v>4</v>
      </c>
      <c r="C1" s="9"/>
      <c r="E1" s="4" t="s">
        <v>2</v>
      </c>
      <c r="F1" s="4" t="s">
        <v>6</v>
      </c>
      <c r="G1" s="4" t="s">
        <v>7</v>
      </c>
    </row>
    <row r="2" spans="2:8" x14ac:dyDescent="0.3">
      <c r="B2" s="1" t="s">
        <v>0</v>
      </c>
      <c r="C2" s="2">
        <v>0.12</v>
      </c>
      <c r="E2" s="1">
        <v>1</v>
      </c>
      <c r="F2" s="8">
        <f>PPMT($C$2/12,E2,$C$4,-$C$3)</f>
        <v>6122.2238424508869</v>
      </c>
      <c r="G2" s="8">
        <f>IPMT($C$2/12,E2,$C$4,-$C$3)</f>
        <v>5000</v>
      </c>
      <c r="H2" s="6">
        <f>F2+G2</f>
        <v>11122.223842450887</v>
      </c>
    </row>
    <row r="3" spans="2:8" x14ac:dyDescent="0.3">
      <c r="B3" s="1" t="s">
        <v>1</v>
      </c>
      <c r="C3" s="1">
        <v>500000</v>
      </c>
      <c r="E3" s="1">
        <v>2</v>
      </c>
      <c r="F3" s="8">
        <f t="shared" ref="F3:F61" si="0">PPMT($C$2/12,E3,$C$4,-$C$3)</f>
        <v>6183.4460808753956</v>
      </c>
      <c r="G3" s="8">
        <f t="shared" ref="G3:G61" si="1">IPMT($C$2/12,E3,$C$4,-$C$3)</f>
        <v>4938.7777615754912</v>
      </c>
      <c r="H3" s="6">
        <f t="shared" ref="H3:H8" si="2">F3+G3</f>
        <v>11122.223842450887</v>
      </c>
    </row>
    <row r="4" spans="2:8" x14ac:dyDescent="0.3">
      <c r="B4" s="1" t="s">
        <v>3</v>
      </c>
      <c r="C4" s="1">
        <v>60</v>
      </c>
      <c r="E4" s="1">
        <v>3</v>
      </c>
      <c r="F4" s="8">
        <f t="shared" si="0"/>
        <v>6245.2805416841493</v>
      </c>
      <c r="G4" s="8">
        <f t="shared" si="1"/>
        <v>4876.9433007667358</v>
      </c>
      <c r="H4" s="6">
        <f t="shared" si="2"/>
        <v>11122.223842450885</v>
      </c>
    </row>
    <row r="5" spans="2:8" x14ac:dyDescent="0.3">
      <c r="E5" s="1">
        <v>4</v>
      </c>
      <c r="F5" s="8">
        <f t="shared" si="0"/>
        <v>6307.7333471009915</v>
      </c>
      <c r="G5" s="8">
        <f t="shared" si="1"/>
        <v>4814.4904953498954</v>
      </c>
      <c r="H5" s="6">
        <f t="shared" si="2"/>
        <v>11122.223842450887</v>
      </c>
    </row>
    <row r="6" spans="2:8" x14ac:dyDescent="0.3">
      <c r="B6" s="3" t="s">
        <v>5</v>
      </c>
      <c r="C6" s="5">
        <f>PMT(C2/12,C4,-C3)</f>
        <v>11122.223842450885</v>
      </c>
      <c r="E6" s="1">
        <v>5</v>
      </c>
      <c r="F6" s="8">
        <f t="shared" si="0"/>
        <v>6370.8106805720008</v>
      </c>
      <c r="G6" s="8">
        <f t="shared" si="1"/>
        <v>4751.4131618788842</v>
      </c>
      <c r="H6" s="6">
        <f t="shared" si="2"/>
        <v>11122.223842450885</v>
      </c>
    </row>
    <row r="7" spans="2:8" x14ac:dyDescent="0.3">
      <c r="E7" s="1">
        <v>6</v>
      </c>
      <c r="F7" s="8">
        <f t="shared" si="0"/>
        <v>6434.5187873777204</v>
      </c>
      <c r="G7" s="8">
        <f t="shared" si="1"/>
        <v>4687.7050550731647</v>
      </c>
      <c r="H7" s="6">
        <f t="shared" si="2"/>
        <v>11122.223842450885</v>
      </c>
    </row>
    <row r="8" spans="2:8" x14ac:dyDescent="0.3">
      <c r="B8" t="s">
        <v>9</v>
      </c>
      <c r="C8" s="7">
        <f>C6*C4</f>
        <v>667333.43054705311</v>
      </c>
      <c r="E8" s="1">
        <v>7</v>
      </c>
      <c r="F8" s="8">
        <f t="shared" si="0"/>
        <v>6498.8639752514991</v>
      </c>
      <c r="G8" s="8">
        <f t="shared" si="1"/>
        <v>4623.3598671993886</v>
      </c>
      <c r="H8" s="6">
        <f t="shared" si="2"/>
        <v>11122.223842450887</v>
      </c>
    </row>
    <row r="9" spans="2:8" x14ac:dyDescent="0.3">
      <c r="E9" s="1">
        <v>8</v>
      </c>
      <c r="F9" s="8">
        <f t="shared" si="0"/>
        <v>6563.8526150040134</v>
      </c>
      <c r="G9" s="8">
        <f t="shared" si="1"/>
        <v>4558.3712274468726</v>
      </c>
      <c r="H9" s="6">
        <f>SUM(H2:H8)</f>
        <v>77855.566897156197</v>
      </c>
    </row>
    <row r="10" spans="2:8" x14ac:dyDescent="0.3">
      <c r="B10" t="s">
        <v>10</v>
      </c>
      <c r="C10" s="7">
        <f>C8-C3</f>
        <v>167333.43054705311</v>
      </c>
      <c r="E10" s="1">
        <v>9</v>
      </c>
      <c r="F10" s="8">
        <f t="shared" si="0"/>
        <v>6629.4911411540525</v>
      </c>
      <c r="G10" s="8">
        <f t="shared" si="1"/>
        <v>4492.7327012968335</v>
      </c>
    </row>
    <row r="11" spans="2:8" x14ac:dyDescent="0.3">
      <c r="E11" s="1">
        <v>10</v>
      </c>
      <c r="F11" s="8">
        <f t="shared" si="0"/>
        <v>6695.7860525655933</v>
      </c>
      <c r="G11" s="8">
        <f t="shared" si="1"/>
        <v>4426.4377898852927</v>
      </c>
    </row>
    <row r="12" spans="2:8" x14ac:dyDescent="0.3">
      <c r="C12" s="6">
        <f>C6*5</f>
        <v>55611.119212254423</v>
      </c>
      <c r="E12" s="1">
        <v>11</v>
      </c>
      <c r="F12" s="8">
        <f t="shared" si="0"/>
        <v>6762.7439130912489</v>
      </c>
      <c r="G12" s="8">
        <f t="shared" si="1"/>
        <v>4359.479929359637</v>
      </c>
    </row>
    <row r="13" spans="2:8" x14ac:dyDescent="0.3">
      <c r="E13" s="1">
        <v>12</v>
      </c>
      <c r="F13" s="8">
        <f t="shared" si="0"/>
        <v>6830.3713522221615</v>
      </c>
      <c r="G13" s="8">
        <f t="shared" si="1"/>
        <v>4291.8524902287245</v>
      </c>
    </row>
    <row r="14" spans="2:8" x14ac:dyDescent="0.3">
      <c r="E14" s="1">
        <v>13</v>
      </c>
      <c r="F14" s="8">
        <f t="shared" si="0"/>
        <v>6898.6750657443845</v>
      </c>
      <c r="G14" s="8">
        <f t="shared" si="1"/>
        <v>4223.5487767065024</v>
      </c>
    </row>
    <row r="15" spans="2:8" x14ac:dyDescent="0.3">
      <c r="E15" s="1">
        <v>14</v>
      </c>
      <c r="F15" s="8">
        <f t="shared" si="0"/>
        <v>6967.6618164018273</v>
      </c>
      <c r="G15" s="8">
        <f t="shared" si="1"/>
        <v>4154.5620260490587</v>
      </c>
    </row>
    <row r="16" spans="2:8" x14ac:dyDescent="0.3">
      <c r="E16" s="1">
        <v>15</v>
      </c>
      <c r="F16" s="8">
        <f t="shared" si="0"/>
        <v>7037.3384345658451</v>
      </c>
      <c r="G16" s="8">
        <f t="shared" si="1"/>
        <v>4084.8854078850391</v>
      </c>
    </row>
    <row r="17" spans="5:7" x14ac:dyDescent="0.3">
      <c r="E17" s="1">
        <v>16</v>
      </c>
      <c r="F17" s="8">
        <f t="shared" si="0"/>
        <v>7107.7118189115045</v>
      </c>
      <c r="G17" s="8">
        <f t="shared" si="1"/>
        <v>4014.5120235393815</v>
      </c>
    </row>
    <row r="18" spans="5:7" x14ac:dyDescent="0.3">
      <c r="E18" s="1">
        <v>17</v>
      </c>
      <c r="F18" s="8">
        <f t="shared" si="0"/>
        <v>7178.7889371006195</v>
      </c>
      <c r="G18" s="8">
        <f t="shared" si="1"/>
        <v>3943.4349053502665</v>
      </c>
    </row>
    <row r="19" spans="5:7" x14ac:dyDescent="0.3">
      <c r="E19" s="1">
        <v>18</v>
      </c>
      <c r="F19" s="8">
        <f t="shared" si="0"/>
        <v>7250.5768264716244</v>
      </c>
      <c r="G19" s="8">
        <f t="shared" si="1"/>
        <v>3871.6470159792598</v>
      </c>
    </row>
    <row r="20" spans="5:7" x14ac:dyDescent="0.3">
      <c r="E20" s="1">
        <v>19</v>
      </c>
      <c r="F20" s="8">
        <f t="shared" si="0"/>
        <v>7323.0825947363419</v>
      </c>
      <c r="G20" s="8">
        <f t="shared" si="1"/>
        <v>3799.1412477145445</v>
      </c>
    </row>
    <row r="21" spans="5:7" x14ac:dyDescent="0.3">
      <c r="E21" s="1">
        <v>20</v>
      </c>
      <c r="F21" s="8">
        <f t="shared" si="0"/>
        <v>7396.3134206837058</v>
      </c>
      <c r="G21" s="8">
        <f t="shared" si="1"/>
        <v>3725.9104217671807</v>
      </c>
    </row>
    <row r="22" spans="5:7" x14ac:dyDescent="0.3">
      <c r="E22" s="1">
        <v>21</v>
      </c>
      <c r="F22" s="8">
        <f t="shared" si="0"/>
        <v>7470.2765548905427</v>
      </c>
      <c r="G22" s="8">
        <f t="shared" si="1"/>
        <v>3651.9472875603433</v>
      </c>
    </row>
    <row r="23" spans="5:7" x14ac:dyDescent="0.3">
      <c r="E23" s="1">
        <v>22</v>
      </c>
      <c r="F23" s="8">
        <f t="shared" si="0"/>
        <v>7544.9793204394482</v>
      </c>
      <c r="G23" s="8">
        <f t="shared" si="1"/>
        <v>3577.2445220114387</v>
      </c>
    </row>
    <row r="24" spans="5:7" x14ac:dyDescent="0.3">
      <c r="E24" s="1">
        <v>23</v>
      </c>
      <c r="F24" s="8">
        <f t="shared" si="0"/>
        <v>7620.4291136438424</v>
      </c>
      <c r="G24" s="8">
        <f t="shared" si="1"/>
        <v>3501.7947288070432</v>
      </c>
    </row>
    <row r="25" spans="5:7" x14ac:dyDescent="0.3">
      <c r="E25" s="1">
        <v>24</v>
      </c>
      <c r="F25" s="8">
        <f t="shared" si="0"/>
        <v>7696.6334047802811</v>
      </c>
      <c r="G25" s="8">
        <f t="shared" si="1"/>
        <v>3425.5904376706053</v>
      </c>
    </row>
    <row r="26" spans="5:7" x14ac:dyDescent="0.3">
      <c r="E26" s="1">
        <v>25</v>
      </c>
      <c r="F26" s="8">
        <f t="shared" si="0"/>
        <v>7773.5997388280839</v>
      </c>
      <c r="G26" s="8">
        <f t="shared" si="1"/>
        <v>3348.6241036228021</v>
      </c>
    </row>
    <row r="27" spans="5:7" x14ac:dyDescent="0.3">
      <c r="E27" s="1">
        <v>26</v>
      </c>
      <c r="F27" s="8">
        <f t="shared" si="0"/>
        <v>7851.3357362163642</v>
      </c>
      <c r="G27" s="8">
        <f t="shared" si="1"/>
        <v>3270.8881062345213</v>
      </c>
    </row>
    <row r="28" spans="5:7" x14ac:dyDescent="0.3">
      <c r="E28" s="1">
        <v>27</v>
      </c>
      <c r="F28" s="8">
        <f t="shared" si="0"/>
        <v>7929.8490935785276</v>
      </c>
      <c r="G28" s="8">
        <f t="shared" si="1"/>
        <v>3192.3747488723579</v>
      </c>
    </row>
    <row r="29" spans="5:7" x14ac:dyDescent="0.3">
      <c r="E29" s="1">
        <v>28</v>
      </c>
      <c r="F29" s="8">
        <f t="shared" si="0"/>
        <v>8009.1475845143132</v>
      </c>
      <c r="G29" s="8">
        <f t="shared" si="1"/>
        <v>3113.0762579365728</v>
      </c>
    </row>
    <row r="30" spans="5:7" x14ac:dyDescent="0.3">
      <c r="E30" s="1">
        <v>29</v>
      </c>
      <c r="F30" s="8">
        <f t="shared" si="0"/>
        <v>8089.2390603594567</v>
      </c>
      <c r="G30" s="8">
        <f t="shared" si="1"/>
        <v>3032.9847820914292</v>
      </c>
    </row>
    <row r="31" spans="5:7" x14ac:dyDescent="0.3">
      <c r="E31" s="1">
        <v>30</v>
      </c>
      <c r="F31" s="8">
        <f t="shared" si="0"/>
        <v>8170.1314509630511</v>
      </c>
      <c r="G31" s="8">
        <f t="shared" si="1"/>
        <v>2952.0923914878349</v>
      </c>
    </row>
    <row r="32" spans="5:7" x14ac:dyDescent="0.3">
      <c r="E32" s="1">
        <v>31</v>
      </c>
      <c r="F32" s="8">
        <f t="shared" si="0"/>
        <v>8251.8327654726818</v>
      </c>
      <c r="G32" s="8">
        <f t="shared" si="1"/>
        <v>2870.3910769782042</v>
      </c>
    </row>
    <row r="33" spans="5:7" x14ac:dyDescent="0.3">
      <c r="E33" s="1">
        <v>32</v>
      </c>
      <c r="F33" s="8">
        <f t="shared" si="0"/>
        <v>8334.3510931274086</v>
      </c>
      <c r="G33" s="8">
        <f t="shared" si="1"/>
        <v>2787.8727493234778</v>
      </c>
    </row>
    <row r="34" spans="5:7" x14ac:dyDescent="0.3">
      <c r="E34" s="1">
        <v>33</v>
      </c>
      <c r="F34" s="8">
        <f t="shared" si="0"/>
        <v>8417.6946040586809</v>
      </c>
      <c r="G34" s="8">
        <f t="shared" si="1"/>
        <v>2704.5292383922038</v>
      </c>
    </row>
    <row r="35" spans="5:7" x14ac:dyDescent="0.3">
      <c r="E35" s="1">
        <v>34</v>
      </c>
      <c r="F35" s="8">
        <f t="shared" si="0"/>
        <v>8501.8715500992694</v>
      </c>
      <c r="G35" s="8">
        <f t="shared" si="1"/>
        <v>2620.3522923516161</v>
      </c>
    </row>
    <row r="36" spans="5:7" x14ac:dyDescent="0.3">
      <c r="E36" s="1">
        <v>35</v>
      </c>
      <c r="F36" s="8">
        <f t="shared" si="0"/>
        <v>8586.890265600261</v>
      </c>
      <c r="G36" s="8">
        <f t="shared" si="1"/>
        <v>2535.3335768506245</v>
      </c>
    </row>
    <row r="37" spans="5:7" x14ac:dyDescent="0.3">
      <c r="E37" s="1">
        <v>36</v>
      </c>
      <c r="F37" s="8">
        <f t="shared" si="0"/>
        <v>8672.7591682562652</v>
      </c>
      <c r="G37" s="8">
        <f t="shared" si="1"/>
        <v>2449.4646741946212</v>
      </c>
    </row>
    <row r="38" spans="5:7" x14ac:dyDescent="0.3">
      <c r="E38" s="1">
        <v>37</v>
      </c>
      <c r="F38" s="8">
        <f t="shared" si="0"/>
        <v>8759.4867599388272</v>
      </c>
      <c r="G38" s="8">
        <f t="shared" si="1"/>
        <v>2362.7370825120584</v>
      </c>
    </row>
    <row r="39" spans="5:7" x14ac:dyDescent="0.3">
      <c r="E39" s="1">
        <v>38</v>
      </c>
      <c r="F39" s="8">
        <f t="shared" si="0"/>
        <v>8847.0816275382167</v>
      </c>
      <c r="G39" s="8">
        <f t="shared" si="1"/>
        <v>2275.1422149126702</v>
      </c>
    </row>
    <row r="40" spans="5:7" x14ac:dyDescent="0.3">
      <c r="E40" s="1">
        <v>39</v>
      </c>
      <c r="F40" s="8">
        <f t="shared" si="0"/>
        <v>8935.5524438135981</v>
      </c>
      <c r="G40" s="8">
        <f t="shared" si="1"/>
        <v>2186.6713986372883</v>
      </c>
    </row>
    <row r="41" spans="5:7" x14ac:dyDescent="0.3">
      <c r="E41" s="1">
        <v>40</v>
      </c>
      <c r="F41" s="8">
        <f t="shared" si="0"/>
        <v>9024.9079682517331</v>
      </c>
      <c r="G41" s="8">
        <f t="shared" si="1"/>
        <v>2097.3158741991519</v>
      </c>
    </row>
    <row r="42" spans="5:7" x14ac:dyDescent="0.3">
      <c r="E42" s="1">
        <v>41</v>
      </c>
      <c r="F42" s="8">
        <f t="shared" si="0"/>
        <v>9115.1570479342499</v>
      </c>
      <c r="G42" s="8">
        <f t="shared" si="1"/>
        <v>2007.0667945166349</v>
      </c>
    </row>
    <row r="43" spans="5:7" x14ac:dyDescent="0.3">
      <c r="E43" s="1">
        <v>42</v>
      </c>
      <c r="F43" s="8">
        <f t="shared" si="0"/>
        <v>9206.3086184135936</v>
      </c>
      <c r="G43" s="8">
        <f t="shared" si="1"/>
        <v>1915.9152240372921</v>
      </c>
    </row>
    <row r="44" spans="5:7" x14ac:dyDescent="0.3">
      <c r="E44" s="1">
        <v>43</v>
      </c>
      <c r="F44" s="8">
        <f t="shared" si="0"/>
        <v>9298.3717045977301</v>
      </c>
      <c r="G44" s="8">
        <f t="shared" si="1"/>
        <v>1823.8521378531561</v>
      </c>
    </row>
    <row r="45" spans="5:7" x14ac:dyDescent="0.3">
      <c r="E45" s="1">
        <v>44</v>
      </c>
      <c r="F45" s="8">
        <f t="shared" si="0"/>
        <v>9391.355421643706</v>
      </c>
      <c r="G45" s="8">
        <f t="shared" si="1"/>
        <v>1730.8684208071788</v>
      </c>
    </row>
    <row r="46" spans="5:7" x14ac:dyDescent="0.3">
      <c r="E46" s="1">
        <v>45</v>
      </c>
      <c r="F46" s="8">
        <f t="shared" si="0"/>
        <v>9485.2689758601446</v>
      </c>
      <c r="G46" s="8">
        <f t="shared" si="1"/>
        <v>1636.9548665907419</v>
      </c>
    </row>
    <row r="47" spans="5:7" x14ac:dyDescent="0.3">
      <c r="E47" s="1">
        <v>46</v>
      </c>
      <c r="F47" s="8">
        <f t="shared" si="0"/>
        <v>9580.1216656187462</v>
      </c>
      <c r="G47" s="8">
        <f t="shared" si="1"/>
        <v>1542.10217683214</v>
      </c>
    </row>
    <row r="48" spans="5:7" x14ac:dyDescent="0.3">
      <c r="E48" s="1">
        <v>47</v>
      </c>
      <c r="F48" s="8">
        <f t="shared" si="0"/>
        <v>9675.9228822749337</v>
      </c>
      <c r="G48" s="8">
        <f t="shared" si="1"/>
        <v>1446.3009601759527</v>
      </c>
    </row>
    <row r="49" spans="5:7" x14ac:dyDescent="0.3">
      <c r="E49" s="1">
        <v>48</v>
      </c>
      <c r="F49" s="8">
        <f t="shared" si="0"/>
        <v>9772.6821110976834</v>
      </c>
      <c r="G49" s="8">
        <f t="shared" si="1"/>
        <v>1349.5417313532034</v>
      </c>
    </row>
    <row r="50" spans="5:7" x14ac:dyDescent="0.3">
      <c r="E50" s="1">
        <v>49</v>
      </c>
      <c r="F50" s="8">
        <f t="shared" si="0"/>
        <v>9870.4089322086584</v>
      </c>
      <c r="G50" s="8">
        <f t="shared" si="1"/>
        <v>1251.8149102422267</v>
      </c>
    </row>
    <row r="51" spans="5:7" x14ac:dyDescent="0.3">
      <c r="E51" s="1">
        <v>50</v>
      </c>
      <c r="F51" s="8">
        <f t="shared" si="0"/>
        <v>9969.1130215307476</v>
      </c>
      <c r="G51" s="8">
        <f t="shared" si="1"/>
        <v>1153.11082092014</v>
      </c>
    </row>
    <row r="52" spans="5:7" x14ac:dyDescent="0.3">
      <c r="E52" s="1">
        <v>51</v>
      </c>
      <c r="F52" s="8">
        <f t="shared" si="0"/>
        <v>10068.804151746053</v>
      </c>
      <c r="G52" s="8">
        <f t="shared" si="1"/>
        <v>1053.4196907048324</v>
      </c>
    </row>
    <row r="53" spans="5:7" x14ac:dyDescent="0.3">
      <c r="E53" s="1">
        <v>52</v>
      </c>
      <c r="F53" s="8">
        <f t="shared" si="0"/>
        <v>10169.492193263515</v>
      </c>
      <c r="G53" s="8">
        <f t="shared" si="1"/>
        <v>952.731649187372</v>
      </c>
    </row>
    <row r="54" spans="5:7" x14ac:dyDescent="0.3">
      <c r="E54" s="1">
        <v>53</v>
      </c>
      <c r="F54" s="8">
        <f t="shared" si="0"/>
        <v>10271.187115196148</v>
      </c>
      <c r="G54" s="8">
        <f t="shared" si="1"/>
        <v>851.03672725473677</v>
      </c>
    </row>
    <row r="55" spans="5:7" x14ac:dyDescent="0.3">
      <c r="E55" s="1">
        <v>54</v>
      </c>
      <c r="F55" s="8">
        <f t="shared" si="0"/>
        <v>10373.898986348109</v>
      </c>
      <c r="G55" s="8">
        <f t="shared" si="1"/>
        <v>748.32485610277513</v>
      </c>
    </row>
    <row r="56" spans="5:7" x14ac:dyDescent="0.3">
      <c r="E56" s="1">
        <v>55</v>
      </c>
      <c r="F56" s="8">
        <f t="shared" si="0"/>
        <v>10477.637976211592</v>
      </c>
      <c r="G56" s="8">
        <f t="shared" si="1"/>
        <v>644.58586623929409</v>
      </c>
    </row>
    <row r="57" spans="5:7" x14ac:dyDescent="0.3">
      <c r="E57" s="1">
        <v>56</v>
      </c>
      <c r="F57" s="8">
        <f t="shared" si="0"/>
        <v>10582.414355973706</v>
      </c>
      <c r="G57" s="8">
        <f t="shared" si="1"/>
        <v>539.8094864771781</v>
      </c>
    </row>
    <row r="58" spans="5:7" x14ac:dyDescent="0.3">
      <c r="E58" s="1">
        <v>57</v>
      </c>
      <c r="F58" s="8">
        <f t="shared" si="0"/>
        <v>10688.238499533445</v>
      </c>
      <c r="G58" s="8">
        <f t="shared" si="1"/>
        <v>433.98534291744102</v>
      </c>
    </row>
    <row r="59" spans="5:7" x14ac:dyDescent="0.3">
      <c r="E59" s="1">
        <v>58</v>
      </c>
      <c r="F59" s="8">
        <f t="shared" si="0"/>
        <v>10795.12088452878</v>
      </c>
      <c r="G59" s="8">
        <f t="shared" si="1"/>
        <v>327.10295792210661</v>
      </c>
    </row>
    <row r="60" spans="5:7" x14ac:dyDescent="0.3">
      <c r="E60" s="1">
        <v>59</v>
      </c>
      <c r="F60" s="8">
        <f t="shared" si="0"/>
        <v>10903.072093374065</v>
      </c>
      <c r="G60" s="8">
        <f t="shared" si="1"/>
        <v>219.15174907681882</v>
      </c>
    </row>
    <row r="61" spans="5:7" x14ac:dyDescent="0.3">
      <c r="E61" s="1">
        <v>60</v>
      </c>
      <c r="F61" s="8">
        <f t="shared" si="0"/>
        <v>11012.102814307807</v>
      </c>
      <c r="G61" s="8">
        <f t="shared" si="1"/>
        <v>110.12102814307809</v>
      </c>
    </row>
    <row r="62" spans="5:7" x14ac:dyDescent="0.3">
      <c r="E62" s="1" t="s">
        <v>8</v>
      </c>
      <c r="F62" s="8">
        <f>SUM(F2:F61)</f>
        <v>499999.99999999977</v>
      </c>
      <c r="G62" s="8">
        <f>SUM(G2:G61)</f>
        <v>167333.43054705331</v>
      </c>
    </row>
  </sheetData>
  <mergeCells count="1">
    <mergeCell ref="B1:C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2023-04-03T04:54:05Z</dcterms:created>
  <dcterms:modified xsi:type="dcterms:W3CDTF">2026-05-07T14:33:04Z</dcterms:modified>
</cp:coreProperties>
</file>